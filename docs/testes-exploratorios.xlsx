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Roteiro" sheetId="2" state="visible" r:id="rId4"/>
    <sheet name="Resumo" sheetId="3" state="visible" r:id="rId5"/>
  </sheets>
  <definedNames>
    <definedName function="false" hidden="true" localSheetId="1" name="_xlnm._FilterDatabase" vbProcedure="false">Roteiro!$A$1:$L$26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<sst xmlns="http://schemas.openxmlformats.org/spreadsheetml/2006/main" count="281" uniqueCount="199">
  <si>
    <t xml:space="preserve">Testes exploratórios manuais | Verzel Store</t>
  </si>
  <si>
    <t xml:space="preserve">Entrega testada</t>
  </si>
  <si>
    <t xml:space="preserve">VZS-142, cupom de desconto e frete grátis, versão 2.3.0</t>
  </si>
  <si>
    <t xml:space="preserve">Ambiente</t>
  </si>
  <si>
    <t xml:space="preserve">https://verzel-store.qa-test-verzel-store.workers.dev/</t>
  </si>
  <si>
    <t xml:space="preserve">O que é</t>
  </si>
  <si>
    <t xml:space="preserve">25 cenários feitos à mão, fora dos cenários automatizados, para procurar o que a documentação não previu.</t>
  </si>
  <si>
    <t xml:space="preserve">Como executar</t>
  </si>
  <si>
    <t xml:space="preserve">1. Abra a loja em uma aba nova. Cada cenário começa com o carrinho vazio: use "Esvaziar carrinho" entre um cenário e outro.
2. Siga a coluna Passos e compare com a coluna Resultado esperado.
3. Tire o print indicado e salve em docs/evidencias/exploratorios/ com o nome da coluna Print a tirar.
4. Preencha as três colunas amarelas da aba Roteiro.</t>
  </si>
  <si>
    <t xml:space="preserve">Células para preencher</t>
  </si>
  <si>
    <t xml:space="preserve">Só as colunas amarelas da aba Roteiro: Resultado (lista com Passou, Falhou e Observação), O que aconteceu e Data. A aba Resumo se atualiza sozinha.</t>
  </si>
  <si>
    <t xml:space="preserve">Tipo de resultado</t>
  </si>
  <si>
    <t xml:space="preserve">Resultado esperado definido: há um resultado certo para comparar.
Registrar o comportamento: a documentação não cobre o caso. Anote o que a loja faz e marque Observação.
Falha conhecida: o cenário reproduz um bug já reportado em docs/bugs.md e deve falhar.</t>
  </si>
  <si>
    <t xml:space="preserve">Conferido na loja antes</t>
  </si>
  <si>
    <t xml:space="preserve">Sim: o resultado esperado foi visto na loja em 06/10/2026, antes de o roteiro ser escrito.
Em parte: só uma parte do cenário foi vista. A coluna Notas diz qual.
Não: o resultado esperado é o comportamento que a loja deveria ter e ainda não foi visto.</t>
  </si>
  <si>
    <t xml:space="preserve">Cenários de API</t>
  </si>
  <si>
    <t xml:space="preserve">Use qualquer cliente HTTP (Postman, Insomnia ou a extensão REST Client do VS Code). O print é da tela do cliente com a requisição e a resposta.</t>
  </si>
  <si>
    <t xml:space="preserve">Origem</t>
  </si>
  <si>
    <t xml:space="preserve">Mesmo conteúdo de docs/testes-exploratorios.md. Preencha os resultados em um dos dois, para não manter duas versões.</t>
  </si>
  <si>
    <t xml:space="preserve">Exemplo de preenchimento</t>
  </si>
  <si>
    <t xml:space="preserve">Linha de exemplo, só para mostrar o formato. Não é um resultado real.</t>
  </si>
  <si>
    <t xml:space="preserve">ID | Resultado | O que aconteceu | Data</t>
  </si>
  <si>
    <t xml:space="preserve">TE-00 | Passou | Cupom aplicado com Enter. Desconto - R$ 10,00 e total R$ 109,90. Print salvo como TE-00.png. | 06/10/2026</t>
  </si>
  <si>
    <t xml:space="preserve">ID</t>
  </si>
  <si>
    <t xml:space="preserve">Sessão</t>
  </si>
  <si>
    <t xml:space="preserve">Cenário</t>
  </si>
  <si>
    <t xml:space="preserve">Passos</t>
  </si>
  <si>
    <t xml:space="preserve">Resultado esperado</t>
  </si>
  <si>
    <t xml:space="preserve">Print a tirar</t>
  </si>
  <si>
    <t xml:space="preserve">Notas</t>
  </si>
  <si>
    <t xml:space="preserve">Resultado</t>
  </si>
  <si>
    <t xml:space="preserve">O que aconteceu</t>
  </si>
  <si>
    <t xml:space="preserve">Data</t>
  </si>
  <si>
    <t xml:space="preserve">TE-01</t>
  </si>
  <si>
    <t xml:space="preserve">1. Cupom no carrinho</t>
  </si>
  <si>
    <t xml:space="preserve">Aplicar o cupom pela tecla Enter</t>
  </si>
  <si>
    <t xml:space="preserve">1. Adicionar 1 Mochila Urbana 20L e abrir o Carrinho.
2. Clicar no campo "Cupom de desconto", digitar BEMVINDO10 e apertar Enter, sem usar o mouse.</t>
  </si>
  <si>
    <t xml:space="preserve">O cupom é aplicado como se o botão "Aplicar cupom" fosse clicado. Desconto - R$ 10,00 e total R$ 109,90.</t>
  </si>
  <si>
    <t xml:space="preserve">Resultado esperado definido</t>
  </si>
  <si>
    <t xml:space="preserve">Não</t>
  </si>
  <si>
    <t xml:space="preserve">TE-01.png</t>
  </si>
  <si>
    <t xml:space="preserve">O resultado esperado é o comportamento que a loja deveria ter. Não foi conferido antes.</t>
  </si>
  <si>
    <t xml:space="preserve">TE-02</t>
  </si>
  <si>
    <t xml:space="preserve">Corrigir o cupom depois de um erro</t>
  </si>
  <si>
    <t xml:space="preserve">1. Adicionar 1 Mochila Urbana 20L e abrir o Carrinho.
2. Aplicar o cupom NAOEXISTE.
3. Sem recarregar a página, apagar o campo, digitar bemvindo10 e aplicar.</t>
  </si>
  <si>
    <t xml:space="preserve">Passo 2: aparece "Cupom inválido." e o total continua R$ 119,90.
Passo 3: a mensagem de erro some, aparece "Cupom BEMVINDO10 aplicado." e o total passa a R$ 109,90.</t>
  </si>
  <si>
    <t xml:space="preserve">Sim</t>
  </si>
  <si>
    <t xml:space="preserve">TE-02-a.png e TE-02-b.png</t>
  </si>
  <si>
    <t xml:space="preserve">TE-03</t>
  </si>
  <si>
    <t xml:space="preserve">Cupom depois de remover o último item</t>
  </si>
  <si>
    <t xml:space="preserve">1. Adicionar 1 Mochila Urbana 20L, abrir o Carrinho e aplicar BEMVINDO10.
2. Clicar em "Remover" na linha da mochila. O carrinho fica vazio.
3. Voltar à vitrine, adicionar 1 Garrafa Térmica 750ml e abrir o Carrinho.
4. Repetir os passos 1 a 3 usando "Esvaziar carrinho" no lugar de "Remover".</t>
  </si>
  <si>
    <t xml:space="preserve">A documentação não cobre. Registrar: o carrinho novo abre com o cupom já aplicado ou sem cupom? Os dois caminhos se comportam igual?</t>
  </si>
  <si>
    <t xml:space="preserve">Registrar o comportamento</t>
  </si>
  <si>
    <t xml:space="preserve">TE-03-a.png e TE-03-b.png</t>
  </si>
  <si>
    <t xml:space="preserve">Na conferência de 06/10/2026: com "Remover" o cupom continuou aplicado no carrinho novo; com "Esvaziar carrinho" o cupom foi removido.</t>
  </si>
  <si>
    <t xml:space="preserve">TE-04</t>
  </si>
  <si>
    <t xml:space="preserve">Cupom ao recarregar a página e ao ir e voltar da finalização</t>
  </si>
  <si>
    <t xml:space="preserve">1. Adicionar 1 Mochila Urbana 20L e 1 Garrafa Térmica 750ml, abrir o Carrinho e aplicar BEMVINDO10.
2. Recarregar a página (F5).
3. Clicar em "Finalizar compra" e depois em "Voltar ao carrinho".</t>
  </si>
  <si>
    <t xml:space="preserve">Nos passos 2 e 3 os itens, o cupom e os valores continuam os mesmos: subtotal R$ 150,00, desconto - R$ 15,00, frete R$ 19,90 e total R$ 154,90.</t>
  </si>
  <si>
    <t xml:space="preserve">TE-04.png</t>
  </si>
  <si>
    <t xml:space="preserve">TE-05</t>
  </si>
  <si>
    <t xml:space="preserve">2. Frete e valores</t>
  </si>
  <si>
    <t xml:space="preserve">Cruzar o limite do frete grátis com cupom aplicado</t>
  </si>
  <si>
    <t xml:space="preserve">1. Adicionar 1 Tênis Casual Urbano, abrir o Carrinho e aplicar BEMVINDO10.
2. Voltar à vitrine, adicionar 1 Kit 3 Pares de Meias e abrir o Carrinho.
3. Remover o Kit 3 Pares de Meias.</t>
  </si>
  <si>
    <t xml:space="preserve">Passo 1: subtotal R$ 189,90, desconto - R$ 18,99, frete R$ 19,90, total R$ 190,81, aviso "Faltam R$ 10,10 para o frete grátis."
Passo 2: subtotal R$ 219,80, desconto - R$ 21,98, frete Grátis, total R$ 197,82, sem aviso.
Passo 3: volta aos valores do passo 1.</t>
  </si>
  <si>
    <t xml:space="preserve">Em parte</t>
  </si>
  <si>
    <t xml:space="preserve">TE-05.png</t>
  </si>
  <si>
    <t xml:space="preserve">No passo 2 o valor pago fica abaixo de R$ 200,00 e o frete continua grátis, porque a regra olha o subtotal antes do desconto (CA08). Conferido em parte: os valores do passo 1 foram vistos na API; os do passo 2 saem da regra de cálculo.</t>
  </si>
  <si>
    <t xml:space="preserve">TE-06</t>
  </si>
  <si>
    <t xml:space="preserve">Subtotal de exatamente R$ 200,00, montado à mão</t>
  </si>
  <si>
    <t xml:space="preserve">1. Adicionar 2 Mochilas Urbanas 20L e abrir o Carrinho.
2. Esvaziar e repetir com 4 Garrafas Térmicas 750ml.
3. Esvaziar e repetir com 1 Mochila Urbana 20L e 2 Garrafas Térmicas 750ml.</t>
  </si>
  <si>
    <t xml:space="preserve">Subtotal R$ 200,00, frete Grátis, total R$ 200,00 e nenhum aviso de valor faltante (CA06).</t>
  </si>
  <si>
    <t xml:space="preserve">Falha conhecida</t>
  </si>
  <si>
    <t xml:space="preserve">TE-06-a.png, TE-06-b.png e TE-06-c.png</t>
  </si>
  <si>
    <t xml:space="preserve">Reproduz o BUG-01: a loja cobra R$ 19,90 e mostra "Faltam R$ 0,00 para o frete grátis."</t>
  </si>
  <si>
    <t xml:space="preserve">TE-07</t>
  </si>
  <si>
    <t xml:space="preserve">Carrinho no máximo: 5 unidades de cada um dos 8 produtos</t>
  </si>
  <si>
    <t xml:space="preserve">1. Adicionar 5 unidades de cada produto da vitrine e abrir o Carrinho.
2. Aplicar BEMVINDO10.
3. Clicar em "Finalizar compra".</t>
  </si>
  <si>
    <t xml:space="preserve">Contador do carrinho em 40. Subtotal R$ 4.247,00, com ponto de milhar. Com o cupom: desconto - R$ 424,70, frete Grátis e total R$ 3.822,30. Na finalização, as 8 linhas de itens aparecem com os mesmos valores, sem texto cortado ou sobreposto.</t>
  </si>
  <si>
    <t xml:space="preserve">TE-07-a.png e TE-07-b.png</t>
  </si>
  <si>
    <t xml:space="preserve">TE-08</t>
  </si>
  <si>
    <t xml:space="preserve">3. Quantidade</t>
  </si>
  <si>
    <t xml:space="preserve">O limite de 5 unidades resiste a recarregar e a trocar de página</t>
  </si>
  <si>
    <t xml:space="preserve">1. Na vitrine, adicionar 5 unidades do Boné Aba Curva.
2. Recarregar a página (F5) e tentar adicionar mais uma unidade.
3. Abrir o Carrinho, voltar à vitrine e tentar de novo.
4. No Carrinho, tentar clicar no botão + do boné.</t>
  </si>
  <si>
    <t xml:space="preserve">Em todos os passos o produto continua com 5 unidades. Na vitrine o botão "Adicionar ao carrinho" fica desabilitado, com "Limite de 5 unidades atingido.". No carrinho o botão + fica desabilitado, com "Limite de 5 unidades por produto." (CA10).</t>
  </si>
  <si>
    <t xml:space="preserve">TE-08.png</t>
  </si>
  <si>
    <t xml:space="preserve">Conferido em parte: o bloqueio com 5 unidades foi visto na vitrine e no carrinho; o passo de recarregar a página não foi executado.</t>
  </si>
  <si>
    <t xml:space="preserve">TE-09</t>
  </si>
  <si>
    <t xml:space="preserve">O contador do carrinho soma unidades, não produtos</t>
  </si>
  <si>
    <t xml:space="preserve">1. Adicionar 3 Camisetas Essenciais e 2 Bonés Aba Curva.
2. Abrir o Carrinho e diminuir a camiseta para 1 unidade.</t>
  </si>
  <si>
    <t xml:space="preserve">Passo 1: contador em 5 e subtotal R$ 279,50.
Passo 2: contador em 3, subtotal R$ 159,70 e frete de volta a R$ 19,90.</t>
  </si>
  <si>
    <t xml:space="preserve">TE-09.png</t>
  </si>
  <si>
    <t xml:space="preserve">Conferido em parte: o contador somando unidades foi visto com outros itens; os valores deste cenário saem da regra de cálculo.</t>
  </si>
  <si>
    <t xml:space="preserve">TE-10</t>
  </si>
  <si>
    <t xml:space="preserve">4. Finalização da compra</t>
  </si>
  <si>
    <t xml:space="preserve">Nome com acentos, apóstrofo e espaços a mais</t>
  </si>
  <si>
    <t xml:space="preserve">1. Adicionar 1 Mochila Urbana 20L e ir até a finalização.
2. Preencher o nome com espaços no início, no meio e no fim: "  José   Antônio D'Ávila  ". E-mail jose@exemplo.com e CEP 01310100.
3. Confirmar o pedido.</t>
  </si>
  <si>
    <t xml:space="preserve">O pedido é confirmado e a tela agradece com "Obrigado, José.". Acentos e apóstrofo não quebram a tela.</t>
  </si>
  <si>
    <t xml:space="preserve">TE-10.png</t>
  </si>
  <si>
    <t xml:space="preserve">Na conferência o nome foi digitado em minúsculas e a tela mostrou "Obrigado, josé.": a loja exibe o nome como foi digitado.</t>
  </si>
  <si>
    <t xml:space="preserve">TE-11</t>
  </si>
  <si>
    <t xml:space="preserve">Dados digitados ao sair da finalização e voltar</t>
  </si>
  <si>
    <t xml:space="preserve">1. Adicionar 1 Mochila Urbana 20L e ir até a finalização.
2. Preencher nome, e-mail e CEP, sem confirmar.
3. Clicar em "Voltar ao carrinho" e depois em "Finalizar compra".</t>
  </si>
  <si>
    <t xml:space="preserve">A documentação não cobre. Registrar: os dados digitados continuam no formulário ou somem?</t>
  </si>
  <si>
    <t xml:space="preserve">TE-11.png</t>
  </si>
  <si>
    <t xml:space="preserve">Na conferência de 06/10/2026 os dados sumiram ao voltar. Se confirmar, é uma observação de usabilidade para levar ao time.</t>
  </si>
  <si>
    <t xml:space="preserve">TE-12</t>
  </si>
  <si>
    <t xml:space="preserve">Duplo clique em "Confirmar pedido"</t>
  </si>
  <si>
    <t xml:space="preserve">1. Adicionar 1 Mochila Urbana 20L, ir até a finalização e preencher dados válidos.
2. Abrir as ferramentas do desenvolvedor (F12), aba Rede.
3. Dar um duplo clique rápido em "Confirmar pedido".</t>
  </si>
  <si>
    <t xml:space="preserve">Uma única requisição POST /api/pedidos na aba Rede e uma única tela de pedido confirmado. Enquanto o pedido é enviado, o botão fica indisponível.</t>
  </si>
  <si>
    <t xml:space="preserve">TE-12.png</t>
  </si>
  <si>
    <t xml:space="preserve">TE-13</t>
  </si>
  <si>
    <t xml:space="preserve">Botão voltar do navegador depois de confirmar o pedido</t>
  </si>
  <si>
    <t xml:space="preserve">1. Concluir um pedido válido até a tela de pedido confirmado.
2. Clicar no botão voltar do navegador.</t>
  </si>
  <si>
    <t xml:space="preserve">A loja não reenvia o pedido nem reabre o formulário preenchido. O carrinho aparece vazio, com o contador em 0.</t>
  </si>
  <si>
    <t xml:space="preserve">TE-13.png</t>
  </si>
  <si>
    <t xml:space="preserve">TE-14</t>
  </si>
  <si>
    <t xml:space="preserve">Recarregar a tela de pedido confirmado</t>
  </si>
  <si>
    <t xml:space="preserve">1. Concluir um pedido válido com o cupom BEMVINDO10.
2. Na tela de pedido confirmado, recarregar a página (F5).</t>
  </si>
  <si>
    <t xml:space="preserve">O mesmo número de pedido e os mesmos valores continuam na tela. Nenhum pedido novo é criado.</t>
  </si>
  <si>
    <t xml:space="preserve">TE-14.png</t>
  </si>
  <si>
    <t xml:space="preserve">TE-15</t>
  </si>
  <si>
    <t xml:space="preserve">Corrigir um campo inválido e confirmar</t>
  </si>
  <si>
    <t xml:space="preserve">1. Adicionar 1 Mochila Urbana 20L e ir até a finalização.
2. Preencher nome Maria, e-mail maria@exemplo.com e CEP 01310-100 e confirmar.
3. Corrigir o nome para Maria Silva e confirmar de novo.</t>
  </si>
  <si>
    <t xml:space="preserve">Passo 2: aparece "Informe nome e sobrenome." e os outros campos continuam preenchidos.
Passo 3: o erro some e o pedido é confirmado.</t>
  </si>
  <si>
    <t xml:space="preserve">TE-15-a.png e TE-15-b.png</t>
  </si>
  <si>
    <t xml:space="preserve">Conferido em parte: o erro do passo 2 foi visto; corrigir e confirmar em seguida não foi executado nessa sequência.</t>
  </si>
  <si>
    <t xml:space="preserve">TE-16</t>
  </si>
  <si>
    <t xml:space="preserve">Formatos de CEP</t>
  </si>
  <si>
    <t xml:space="preserve">Na finalização, com nome e e-mail válidos, tentar confirmar com cada CEP:
1. 01310-100
2. 01310100
3. 0131-0100 (hífen fora da posição)
4. 01.310-100 (com ponto)
5. 01310-100 com espaços nas pontas</t>
  </si>
  <si>
    <t xml:space="preserve">CEPs 1 e 2: aceitos.
CEPs 3 e 4: "Informe um CEP com 8 dígitos."
CEP 5: a documentação não cobre, registrar o comportamento.</t>
  </si>
  <si>
    <t xml:space="preserve">TE-16.png</t>
  </si>
  <si>
    <t xml:space="preserve">A documentação diz "8 dígitos, com ou sem hífen" e não fala de espaços nem da posição do hífen (docs/ambiguidades.md, item 4). Conferido em parte: os cinco formatos foram enviados à API (1, 2 e 5 aceitos; 3 e 4 recusados). Na tela foram vistos os formatos 1, 2 e 5, todos aceitos.</t>
  </si>
  <si>
    <t xml:space="preserve">TE-17</t>
  </si>
  <si>
    <t xml:space="preserve">5. Navegação e ambiente</t>
  </si>
  <si>
    <t xml:space="preserve">Endereço que não existe</t>
  </si>
  <si>
    <t xml:space="preserve">1. Abrir https://verzel-store.qa-test-verzel-store.workers.dev/pagina-inexistente</t>
  </si>
  <si>
    <t xml:space="preserve">A loja mostra "Página não encontrada", com um caminho de volta para os produtos, e não uma tela em branco.</t>
  </si>
  <si>
    <t xml:space="preserve">TE-17.png</t>
  </si>
  <si>
    <t xml:space="preserve">TE-18</t>
  </si>
  <si>
    <t xml:space="preserve">Carrinho em outra aba e em janela anônima</t>
  </si>
  <si>
    <t xml:space="preserve">1. Adicionar 2 produtos ao carrinho.
2. Abrir a loja em uma aba nova e depois em uma janela anônima.</t>
  </si>
  <si>
    <t xml:space="preserve">A aba nova e a janela anônima começam com o carrinho vazio, e a aba original continua com os 2 produtos.</t>
  </si>
  <si>
    <t xml:space="preserve">TE-18.png</t>
  </si>
  <si>
    <t xml:space="preserve">Esperado e não é bug: está descrito em "Sobre este ambiente". O cenário confirma que o comportamento é o documentado. Não foi conferido antes.</t>
  </si>
  <si>
    <t xml:space="preserve">TE-19</t>
  </si>
  <si>
    <t xml:space="preserve">Tela estreita, como a de um celular</t>
  </si>
  <si>
    <t xml:space="preserve">1. Abrir as ferramentas do desenvolvedor (F12) e ativar o modo de dispositivo, com largura de 375 px.
2. Adicionar 3 produtos, abrir o Carrinho, aplicar BEMVINDO10 e ir até a finalização.</t>
  </si>
  <si>
    <t xml:space="preserve">Todos os botões, valores e mensagens ficam visíveis e clicáveis, sem conteúdo cortado e sem barra de rolagem horizontal.</t>
  </si>
  <si>
    <t xml:space="preserve">TE-19-a.png e TE-19-b.png</t>
  </si>
  <si>
    <t xml:space="preserve">TE-20</t>
  </si>
  <si>
    <t xml:space="preserve">Compra inteira só com o teclado</t>
  </si>
  <si>
    <t xml:space="preserve">1. Sem usar o mouse, navegar com Tab e ativar com Enter: adicionar um produto, abrir o Carrinho, aplicar BEMVINDO10, ir até a finalização, preencher os dados e confirmar.</t>
  </si>
  <si>
    <t xml:space="preserve">É possível concluir a compra. O foco fica sempre visível e segue a ordem da tela.</t>
  </si>
  <si>
    <t xml:space="preserve">TE-20.png</t>
  </si>
  <si>
    <t xml:space="preserve">TE-21</t>
  </si>
  <si>
    <t xml:space="preserve">6. API chamada direto</t>
  </si>
  <si>
    <t xml:space="preserve">Campos de preço enviados no item</t>
  </si>
  <si>
    <t xml:space="preserve">POST /api/carrinho/calcular com o corpo:
{ "itens": [ { "produtoId": "P005", "quantidade": 1, "preco": 1, "precoUnitario": 0.01, "total": 0.01 } ] }</t>
  </si>
  <si>
    <t xml:space="preserve">A API ignora os valores enviados e usa o preço do catálogo: precoUnitario 100, subtotal 100 e total 119.9.</t>
  </si>
  <si>
    <t xml:space="preserve">TE-21.png</t>
  </si>
  <si>
    <t xml:space="preserve">Chega perto de "teste de segurança", que o enunciado exclui. É uma requisição só. Apague o cenário se preferir não arriscar.</t>
  </si>
  <si>
    <t xml:space="preserve">TE-22</t>
  </si>
  <si>
    <t xml:space="preserve">Campos de valores enviados no pedido</t>
  </si>
  <si>
    <t xml:space="preserve">POST /api/pedidos com o corpo:
{ "cliente": { "nome": "Maria Silva", "email": "maria@exemplo.com", "cep": "01310-100" }, "itens": [ { "produtoId": "P005", "quantidade": 1 } ], "subtotal": 1, "desconto": 99, "frete": 0, "total": 1, "freteGratis": true }</t>
  </si>
  <si>
    <t xml:space="preserve">201, com os valores calculados pela API: subtotal 100, desconto 0, frete 19.9 e total 119.9.</t>
  </si>
  <si>
    <t xml:space="preserve">TE-22.png</t>
  </si>
  <si>
    <t xml:space="preserve">TE-23</t>
  </si>
  <si>
    <t xml:space="preserve">Quantidade acima do limite, direto na API</t>
  </si>
  <si>
    <t xml:space="preserve">Enviar POST /api/pedidos com 1 item do produto P008, trocando a quantidade por:
1. 6
2. 100
3. 1000000</t>
  </si>
  <si>
    <t xml:space="preserve">422 com QUANTIDADE_MAXIMA_EXCEDIDA nos três casos (CA10).</t>
  </si>
  <si>
    <t xml:space="preserve">TE-23.png</t>
  </si>
  <si>
    <t xml:space="preserve">Reproduz o BUG-02: a API aceita quantidades acima de 5. Conferido em 06/10/2026: pedido confirmado (201) com 6 e com 10; cálculo aceito (200) com 100 e com 1000000.</t>
  </si>
  <si>
    <t xml:space="preserve">TE-24</t>
  </si>
  <si>
    <t xml:space="preserve">Métodos que a API não aceita</t>
  </si>
  <si>
    <t xml:space="preserve">Enviar:
1. PUT /api/pedidos
2. DELETE /api/pedidos
3. PATCH /api/carrinho/calcular
4. DELETE /api/produtos/P001</t>
  </si>
  <si>
    <t xml:space="preserve">405 com METODO_NAO_PERMITIDO em todos.</t>
  </si>
  <si>
    <t xml:space="preserve">TE-24.png</t>
  </si>
  <si>
    <t xml:space="preserve">TE-25</t>
  </si>
  <si>
    <t xml:space="preserve">Nome do cliente só com números</t>
  </si>
  <si>
    <t xml:space="preserve">Enviar POST /api/pedidos com um item válido e o nome "12 34".</t>
  </si>
  <si>
    <t xml:space="preserve">A documentação só exige "nome e sobrenome" e não diz se números contam como nome. Registrar: o pedido é aceito ou recusado?</t>
  </si>
  <si>
    <t xml:space="preserve">TE-25.png</t>
  </si>
  <si>
    <t xml:space="preserve">Na conferência de 06/10/2026 o pedido foi aceito (201).</t>
  </si>
  <si>
    <t xml:space="preserve">Resumo dos testes exploratórios manuais</t>
  </si>
  <si>
    <t xml:space="preserve">Os números abaixo são calculados a partir da coluna Resultado da aba Roteiro.</t>
  </si>
  <si>
    <t xml:space="preserve">Cenários no roteiro</t>
  </si>
  <si>
    <t xml:space="preserve">Passou</t>
  </si>
  <si>
    <t xml:space="preserve">Falhou</t>
  </si>
  <si>
    <t xml:space="preserve">Observação</t>
  </si>
  <si>
    <t xml:space="preserve">Ainda não executados</t>
  </si>
  <si>
    <t xml:space="preserve">Executados (%)</t>
  </si>
  <si>
    <t xml:space="preserve">Cenários</t>
  </si>
  <si>
    <t xml:space="preserve">Pendentes</t>
  </si>
  <si>
    <t xml:space="preserve">Total</t>
  </si>
  <si>
    <t xml:space="preserve">Composição do roteiro</t>
  </si>
  <si>
    <t xml:space="preserve">Conferidos na loja antes</t>
  </si>
  <si>
    <t xml:space="preserve">Conferidos em parte</t>
  </si>
  <si>
    <t xml:space="preserve">Não conferidos antes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</si>
</sst>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1F4E78"/>
      </patternFill>
    </fill>
    <fill>
      <patternFill patternType="solid">
        <fgColor rgb="FFE8EEF5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1F4E78"/>
        <sz val="10"/>
      </font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C0CC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5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21" hidden="false" customHeight="true" outlineLevel="0" collapsed="false">
      <c r="A3" s="2" t="s">
        <v>1</v>
      </c>
      <c r="B3" s="3" t="s">
        <v>2</v>
      </c>
    </row>
    <row r="4" customFormat="false" ht="21" hidden="false" customHeight="true" outlineLevel="0" collapsed="false">
      <c r="A4" s="2" t="s">
        <v>3</v>
      </c>
      <c r="B4" s="3" t="s">
        <v>4</v>
      </c>
    </row>
    <row r="5" customFormat="false" ht="36" hidden="false" customHeight="true" outlineLevel="0" collapsed="false">
      <c r="A5" s="2" t="s">
        <v>5</v>
      </c>
      <c r="B5" s="3" t="s">
        <v>6</v>
      </c>
    </row>
    <row r="6" customFormat="false" ht="111" hidden="false" customHeight="true" outlineLevel="0" collapsed="false">
      <c r="A6" s="2" t="s">
        <v>7</v>
      </c>
      <c r="B6" s="3" t="s">
        <v>8</v>
      </c>
    </row>
    <row r="7" customFormat="false" ht="36" hidden="false" customHeight="true" outlineLevel="0" collapsed="false">
      <c r="A7" s="2" t="s">
        <v>9</v>
      </c>
      <c r="B7" s="3" t="s">
        <v>10</v>
      </c>
    </row>
    <row r="8" customFormat="false" ht="81" hidden="false" customHeight="true" outlineLevel="0" collapsed="false">
      <c r="A8" s="2" t="s">
        <v>11</v>
      </c>
      <c r="B8" s="3" t="s">
        <v>12</v>
      </c>
    </row>
    <row r="9" customFormat="false" ht="81" hidden="false" customHeight="true" outlineLevel="0" collapsed="false">
      <c r="A9" s="2" t="s">
        <v>13</v>
      </c>
      <c r="B9" s="3" t="s">
        <v>14</v>
      </c>
    </row>
    <row r="10" customFormat="false" ht="36" hidden="false" customHeight="true" outlineLevel="0" collapsed="false">
      <c r="A10" s="2" t="s">
        <v>15</v>
      </c>
      <c r="B10" s="3" t="s">
        <v>16</v>
      </c>
    </row>
    <row r="11" customFormat="false" ht="36" hidden="false" customHeight="true" outlineLevel="0" collapsed="false">
      <c r="A11" s="2" t="s">
        <v>17</v>
      </c>
      <c r="B11" s="3" t="s">
        <v>18</v>
      </c>
    </row>
    <row r="13" customFormat="false" ht="15" hidden="false" customHeight="false" outlineLevel="0" collapsed="false">
      <c r="A13" s="4" t="s">
        <v>19</v>
      </c>
      <c r="B13" s="5" t="s">
        <v>20</v>
      </c>
    </row>
    <row r="14" customFormat="false" ht="23.85" hidden="false" customHeight="false" outlineLevel="0" collapsed="false">
      <c r="A14" s="6" t="s">
        <v>21</v>
      </c>
      <c r="B14" s="7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50"/>
    <col collapsed="false" customWidth="true" hidden="false" outlineLevel="0" max="10" min="10" style="0" width="14"/>
    <col collapsed="false" customWidth="true" hidden="false" outlineLevel="0" max="11" min="11" style="0" width="44"/>
    <col collapsed="false" customWidth="true" hidden="false" outlineLevel="0" max="12" min="12" style="0" width="12"/>
  </cols>
  <sheetData>
    <row r="1" customFormat="false" ht="31.5" hidden="false" customHeight="true" outlineLevel="0" collapsed="false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11</v>
      </c>
      <c r="G1" s="8" t="s">
        <v>13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</row>
    <row r="2" customFormat="false" ht="66" hidden="false" customHeight="true" outlineLevel="0" collapsed="false">
      <c r="A2" s="9" t="s">
        <v>33</v>
      </c>
      <c r="B2" s="3" t="s">
        <v>34</v>
      </c>
      <c r="C2" s="2" t="s">
        <v>35</v>
      </c>
      <c r="D2" s="3" t="s">
        <v>36</v>
      </c>
      <c r="E2" s="3" t="s">
        <v>37</v>
      </c>
      <c r="F2" s="3" t="s">
        <v>38</v>
      </c>
      <c r="G2" s="10" t="s">
        <v>39</v>
      </c>
      <c r="H2" s="3" t="s">
        <v>40</v>
      </c>
      <c r="I2" s="3" t="s">
        <v>41</v>
      </c>
      <c r="J2" s="11"/>
      <c r="K2" s="7"/>
      <c r="L2" s="12"/>
    </row>
    <row r="3" customFormat="false" ht="81" hidden="false" customHeight="true" outlineLevel="0" collapsed="false">
      <c r="A3" s="9" t="s">
        <v>42</v>
      </c>
      <c r="B3" s="3" t="s">
        <v>34</v>
      </c>
      <c r="C3" s="2" t="s">
        <v>43</v>
      </c>
      <c r="D3" s="3" t="s">
        <v>44</v>
      </c>
      <c r="E3" s="3" t="s">
        <v>45</v>
      </c>
      <c r="F3" s="3" t="s">
        <v>38</v>
      </c>
      <c r="G3" s="10" t="s">
        <v>46</v>
      </c>
      <c r="H3" s="3" t="s">
        <v>47</v>
      </c>
      <c r="I3" s="3"/>
      <c r="J3" s="11"/>
      <c r="K3" s="7"/>
      <c r="L3" s="12"/>
    </row>
    <row r="4" customFormat="false" ht="126" hidden="false" customHeight="true" outlineLevel="0" collapsed="false">
      <c r="A4" s="9" t="s">
        <v>48</v>
      </c>
      <c r="B4" s="3" t="s">
        <v>34</v>
      </c>
      <c r="C4" s="2" t="s">
        <v>49</v>
      </c>
      <c r="D4" s="3" t="s">
        <v>50</v>
      </c>
      <c r="E4" s="3" t="s">
        <v>51</v>
      </c>
      <c r="F4" s="3" t="s">
        <v>52</v>
      </c>
      <c r="G4" s="10" t="s">
        <v>46</v>
      </c>
      <c r="H4" s="3" t="s">
        <v>53</v>
      </c>
      <c r="I4" s="3" t="s">
        <v>54</v>
      </c>
      <c r="J4" s="11"/>
      <c r="K4" s="7"/>
      <c r="L4" s="12"/>
    </row>
    <row r="5" customFormat="false" ht="96" hidden="false" customHeight="true" outlineLevel="0" collapsed="false">
      <c r="A5" s="9" t="s">
        <v>55</v>
      </c>
      <c r="B5" s="3" t="s">
        <v>34</v>
      </c>
      <c r="C5" s="2" t="s">
        <v>56</v>
      </c>
      <c r="D5" s="3" t="s">
        <v>57</v>
      </c>
      <c r="E5" s="3" t="s">
        <v>58</v>
      </c>
      <c r="F5" s="3" t="s">
        <v>38</v>
      </c>
      <c r="G5" s="10" t="s">
        <v>46</v>
      </c>
      <c r="H5" s="3" t="s">
        <v>59</v>
      </c>
      <c r="I5" s="3"/>
      <c r="J5" s="11"/>
      <c r="K5" s="7"/>
      <c r="L5" s="12"/>
    </row>
    <row r="6" customFormat="false" ht="111" hidden="false" customHeight="true" outlineLevel="0" collapsed="false">
      <c r="A6" s="9" t="s">
        <v>60</v>
      </c>
      <c r="B6" s="3" t="s">
        <v>61</v>
      </c>
      <c r="C6" s="2" t="s">
        <v>62</v>
      </c>
      <c r="D6" s="3" t="s">
        <v>63</v>
      </c>
      <c r="E6" s="3" t="s">
        <v>64</v>
      </c>
      <c r="F6" s="3" t="s">
        <v>38</v>
      </c>
      <c r="G6" s="10" t="s">
        <v>65</v>
      </c>
      <c r="H6" s="3" t="s">
        <v>66</v>
      </c>
      <c r="I6" s="3" t="s">
        <v>67</v>
      </c>
      <c r="J6" s="11"/>
      <c r="K6" s="7"/>
      <c r="L6" s="12"/>
    </row>
    <row r="7" customFormat="false" ht="81" hidden="false" customHeight="true" outlineLevel="0" collapsed="false">
      <c r="A7" s="9" t="s">
        <v>68</v>
      </c>
      <c r="B7" s="3" t="s">
        <v>61</v>
      </c>
      <c r="C7" s="2" t="s">
        <v>69</v>
      </c>
      <c r="D7" s="3" t="s">
        <v>70</v>
      </c>
      <c r="E7" s="3" t="s">
        <v>71</v>
      </c>
      <c r="F7" s="3" t="s">
        <v>72</v>
      </c>
      <c r="G7" s="10" t="s">
        <v>46</v>
      </c>
      <c r="H7" s="3" t="s">
        <v>73</v>
      </c>
      <c r="I7" s="3" t="s">
        <v>74</v>
      </c>
      <c r="J7" s="11"/>
      <c r="K7" s="7"/>
      <c r="L7" s="12"/>
    </row>
    <row r="8" customFormat="false" ht="81" hidden="false" customHeight="true" outlineLevel="0" collapsed="false">
      <c r="A8" s="9" t="s">
        <v>75</v>
      </c>
      <c r="B8" s="3" t="s">
        <v>61</v>
      </c>
      <c r="C8" s="2" t="s">
        <v>76</v>
      </c>
      <c r="D8" s="3" t="s">
        <v>77</v>
      </c>
      <c r="E8" s="3" t="s">
        <v>78</v>
      </c>
      <c r="F8" s="3" t="s">
        <v>38</v>
      </c>
      <c r="G8" s="10" t="s">
        <v>46</v>
      </c>
      <c r="H8" s="3" t="s">
        <v>79</v>
      </c>
      <c r="I8" s="3"/>
      <c r="J8" s="11"/>
      <c r="K8" s="7"/>
      <c r="L8" s="12"/>
    </row>
    <row r="9" customFormat="false" ht="111" hidden="false" customHeight="true" outlineLevel="0" collapsed="false">
      <c r="A9" s="9" t="s">
        <v>80</v>
      </c>
      <c r="B9" s="3" t="s">
        <v>81</v>
      </c>
      <c r="C9" s="2" t="s">
        <v>82</v>
      </c>
      <c r="D9" s="3" t="s">
        <v>83</v>
      </c>
      <c r="E9" s="3" t="s">
        <v>84</v>
      </c>
      <c r="F9" s="3" t="s">
        <v>38</v>
      </c>
      <c r="G9" s="10" t="s">
        <v>65</v>
      </c>
      <c r="H9" s="3" t="s">
        <v>85</v>
      </c>
      <c r="I9" s="3" t="s">
        <v>86</v>
      </c>
      <c r="J9" s="11"/>
      <c r="K9" s="7"/>
      <c r="L9" s="12"/>
    </row>
    <row r="10" customFormat="false" ht="66" hidden="false" customHeight="true" outlineLevel="0" collapsed="false">
      <c r="A10" s="9" t="s">
        <v>87</v>
      </c>
      <c r="B10" s="3" t="s">
        <v>81</v>
      </c>
      <c r="C10" s="2" t="s">
        <v>88</v>
      </c>
      <c r="D10" s="3" t="s">
        <v>89</v>
      </c>
      <c r="E10" s="3" t="s">
        <v>90</v>
      </c>
      <c r="F10" s="3" t="s">
        <v>38</v>
      </c>
      <c r="G10" s="10" t="s">
        <v>65</v>
      </c>
      <c r="H10" s="3" t="s">
        <v>91</v>
      </c>
      <c r="I10" s="3" t="s">
        <v>92</v>
      </c>
      <c r="J10" s="11"/>
      <c r="K10" s="7"/>
      <c r="L10" s="12"/>
    </row>
    <row r="11" customFormat="false" ht="96" hidden="false" customHeight="true" outlineLevel="0" collapsed="false">
      <c r="A11" s="9" t="s">
        <v>93</v>
      </c>
      <c r="B11" s="3" t="s">
        <v>94</v>
      </c>
      <c r="C11" s="2" t="s">
        <v>95</v>
      </c>
      <c r="D11" s="3" t="s">
        <v>96</v>
      </c>
      <c r="E11" s="3" t="s">
        <v>97</v>
      </c>
      <c r="F11" s="3" t="s">
        <v>38</v>
      </c>
      <c r="G11" s="10" t="s">
        <v>46</v>
      </c>
      <c r="H11" s="3" t="s">
        <v>98</v>
      </c>
      <c r="I11" s="3" t="s">
        <v>99</v>
      </c>
      <c r="J11" s="11"/>
      <c r="K11" s="7"/>
      <c r="L11" s="12"/>
    </row>
    <row r="12" customFormat="false" ht="81" hidden="false" customHeight="true" outlineLevel="0" collapsed="false">
      <c r="A12" s="9" t="s">
        <v>100</v>
      </c>
      <c r="B12" s="3" t="s">
        <v>94</v>
      </c>
      <c r="C12" s="2" t="s">
        <v>101</v>
      </c>
      <c r="D12" s="3" t="s">
        <v>102</v>
      </c>
      <c r="E12" s="3" t="s">
        <v>103</v>
      </c>
      <c r="F12" s="3" t="s">
        <v>52</v>
      </c>
      <c r="G12" s="10" t="s">
        <v>46</v>
      </c>
      <c r="H12" s="3" t="s">
        <v>104</v>
      </c>
      <c r="I12" s="3" t="s">
        <v>105</v>
      </c>
      <c r="J12" s="11"/>
      <c r="K12" s="7"/>
      <c r="L12" s="12"/>
    </row>
    <row r="13" customFormat="false" ht="96" hidden="false" customHeight="true" outlineLevel="0" collapsed="false">
      <c r="A13" s="9" t="s">
        <v>106</v>
      </c>
      <c r="B13" s="3" t="s">
        <v>94</v>
      </c>
      <c r="C13" s="2" t="s">
        <v>107</v>
      </c>
      <c r="D13" s="3" t="s">
        <v>108</v>
      </c>
      <c r="E13" s="3" t="s">
        <v>109</v>
      </c>
      <c r="F13" s="3" t="s">
        <v>38</v>
      </c>
      <c r="G13" s="10" t="s">
        <v>39</v>
      </c>
      <c r="H13" s="3" t="s">
        <v>110</v>
      </c>
      <c r="I13" s="3" t="s">
        <v>41</v>
      </c>
      <c r="J13" s="11"/>
      <c r="K13" s="7"/>
      <c r="L13" s="12"/>
    </row>
    <row r="14" customFormat="false" ht="51" hidden="false" customHeight="true" outlineLevel="0" collapsed="false">
      <c r="A14" s="9" t="s">
        <v>111</v>
      </c>
      <c r="B14" s="3" t="s">
        <v>94</v>
      </c>
      <c r="C14" s="2" t="s">
        <v>112</v>
      </c>
      <c r="D14" s="3" t="s">
        <v>113</v>
      </c>
      <c r="E14" s="3" t="s">
        <v>114</v>
      </c>
      <c r="F14" s="3" t="s">
        <v>38</v>
      </c>
      <c r="G14" s="10" t="s">
        <v>46</v>
      </c>
      <c r="H14" s="3" t="s">
        <v>115</v>
      </c>
      <c r="I14" s="3"/>
      <c r="J14" s="11"/>
      <c r="K14" s="7"/>
      <c r="L14" s="12"/>
    </row>
    <row r="15" customFormat="false" ht="51" hidden="false" customHeight="true" outlineLevel="0" collapsed="false">
      <c r="A15" s="9" t="s">
        <v>116</v>
      </c>
      <c r="B15" s="3" t="s">
        <v>94</v>
      </c>
      <c r="C15" s="2" t="s">
        <v>117</v>
      </c>
      <c r="D15" s="3" t="s">
        <v>118</v>
      </c>
      <c r="E15" s="3" t="s">
        <v>119</v>
      </c>
      <c r="F15" s="3" t="s">
        <v>38</v>
      </c>
      <c r="G15" s="10" t="s">
        <v>46</v>
      </c>
      <c r="H15" s="3" t="s">
        <v>120</v>
      </c>
      <c r="I15" s="3"/>
      <c r="J15" s="11"/>
      <c r="K15" s="7"/>
      <c r="L15" s="12"/>
    </row>
    <row r="16" customFormat="false" ht="96" hidden="false" customHeight="true" outlineLevel="0" collapsed="false">
      <c r="A16" s="9" t="s">
        <v>121</v>
      </c>
      <c r="B16" s="3" t="s">
        <v>94</v>
      </c>
      <c r="C16" s="2" t="s">
        <v>122</v>
      </c>
      <c r="D16" s="3" t="s">
        <v>123</v>
      </c>
      <c r="E16" s="3" t="s">
        <v>124</v>
      </c>
      <c r="F16" s="3" t="s">
        <v>38</v>
      </c>
      <c r="G16" s="10" t="s">
        <v>65</v>
      </c>
      <c r="H16" s="3" t="s">
        <v>125</v>
      </c>
      <c r="I16" s="3" t="s">
        <v>126</v>
      </c>
      <c r="J16" s="11"/>
      <c r="K16" s="7"/>
      <c r="L16" s="12"/>
    </row>
    <row r="17" customFormat="false" ht="141" hidden="false" customHeight="true" outlineLevel="0" collapsed="false">
      <c r="A17" s="9" t="s">
        <v>127</v>
      </c>
      <c r="B17" s="3" t="s">
        <v>94</v>
      </c>
      <c r="C17" s="2" t="s">
        <v>128</v>
      </c>
      <c r="D17" s="3" t="s">
        <v>129</v>
      </c>
      <c r="E17" s="3" t="s">
        <v>130</v>
      </c>
      <c r="F17" s="3" t="s">
        <v>38</v>
      </c>
      <c r="G17" s="10" t="s">
        <v>65</v>
      </c>
      <c r="H17" s="3" t="s">
        <v>131</v>
      </c>
      <c r="I17" s="3" t="s">
        <v>132</v>
      </c>
      <c r="J17" s="11"/>
      <c r="K17" s="7"/>
      <c r="L17" s="12"/>
    </row>
    <row r="18" customFormat="false" ht="36" hidden="false" customHeight="true" outlineLevel="0" collapsed="false">
      <c r="A18" s="9" t="s">
        <v>133</v>
      </c>
      <c r="B18" s="3" t="s">
        <v>134</v>
      </c>
      <c r="C18" s="2" t="s">
        <v>135</v>
      </c>
      <c r="D18" s="3" t="s">
        <v>136</v>
      </c>
      <c r="E18" s="3" t="s">
        <v>137</v>
      </c>
      <c r="F18" s="3" t="s">
        <v>38</v>
      </c>
      <c r="G18" s="10" t="s">
        <v>46</v>
      </c>
      <c r="H18" s="3" t="s">
        <v>138</v>
      </c>
      <c r="I18" s="3"/>
      <c r="J18" s="11"/>
      <c r="K18" s="7"/>
      <c r="L18" s="12"/>
    </row>
    <row r="19" customFormat="false" ht="51" hidden="false" customHeight="true" outlineLevel="0" collapsed="false">
      <c r="A19" s="9" t="s">
        <v>139</v>
      </c>
      <c r="B19" s="3" t="s">
        <v>134</v>
      </c>
      <c r="C19" s="2" t="s">
        <v>140</v>
      </c>
      <c r="D19" s="3" t="s">
        <v>141</v>
      </c>
      <c r="E19" s="3" t="s">
        <v>142</v>
      </c>
      <c r="F19" s="3" t="s">
        <v>38</v>
      </c>
      <c r="G19" s="10" t="s">
        <v>39</v>
      </c>
      <c r="H19" s="3" t="s">
        <v>143</v>
      </c>
      <c r="I19" s="3" t="s">
        <v>144</v>
      </c>
      <c r="J19" s="11"/>
      <c r="K19" s="7"/>
      <c r="L19" s="12"/>
    </row>
    <row r="20" customFormat="false" ht="81" hidden="false" customHeight="true" outlineLevel="0" collapsed="false">
      <c r="A20" s="9" t="s">
        <v>145</v>
      </c>
      <c r="B20" s="3" t="s">
        <v>134</v>
      </c>
      <c r="C20" s="2" t="s">
        <v>146</v>
      </c>
      <c r="D20" s="3" t="s">
        <v>147</v>
      </c>
      <c r="E20" s="3" t="s">
        <v>148</v>
      </c>
      <c r="F20" s="3" t="s">
        <v>38</v>
      </c>
      <c r="G20" s="10" t="s">
        <v>39</v>
      </c>
      <c r="H20" s="3" t="s">
        <v>149</v>
      </c>
      <c r="I20" s="3" t="s">
        <v>41</v>
      </c>
      <c r="J20" s="11"/>
      <c r="K20" s="7"/>
      <c r="L20" s="12"/>
    </row>
    <row r="21" customFormat="false" ht="51" hidden="false" customHeight="true" outlineLevel="0" collapsed="false">
      <c r="A21" s="9" t="s">
        <v>150</v>
      </c>
      <c r="B21" s="3" t="s">
        <v>134</v>
      </c>
      <c r="C21" s="2" t="s">
        <v>151</v>
      </c>
      <c r="D21" s="3" t="s">
        <v>152</v>
      </c>
      <c r="E21" s="3" t="s">
        <v>153</v>
      </c>
      <c r="F21" s="3" t="s">
        <v>38</v>
      </c>
      <c r="G21" s="10" t="s">
        <v>39</v>
      </c>
      <c r="H21" s="3" t="s">
        <v>154</v>
      </c>
      <c r="I21" s="3" t="s">
        <v>41</v>
      </c>
      <c r="J21" s="11"/>
      <c r="K21" s="7"/>
      <c r="L21" s="12"/>
    </row>
    <row r="22" customFormat="false" ht="66" hidden="false" customHeight="true" outlineLevel="0" collapsed="false">
      <c r="A22" s="9" t="s">
        <v>155</v>
      </c>
      <c r="B22" s="3" t="s">
        <v>156</v>
      </c>
      <c r="C22" s="2" t="s">
        <v>157</v>
      </c>
      <c r="D22" s="3" t="s">
        <v>158</v>
      </c>
      <c r="E22" s="3" t="s">
        <v>159</v>
      </c>
      <c r="F22" s="3" t="s">
        <v>38</v>
      </c>
      <c r="G22" s="10" t="s">
        <v>46</v>
      </c>
      <c r="H22" s="3" t="s">
        <v>160</v>
      </c>
      <c r="I22" s="3" t="s">
        <v>161</v>
      </c>
      <c r="J22" s="11"/>
      <c r="K22" s="7"/>
      <c r="L22" s="12"/>
    </row>
    <row r="23" customFormat="false" ht="96" hidden="false" customHeight="true" outlineLevel="0" collapsed="false">
      <c r="A23" s="9" t="s">
        <v>162</v>
      </c>
      <c r="B23" s="3" t="s">
        <v>156</v>
      </c>
      <c r="C23" s="2" t="s">
        <v>163</v>
      </c>
      <c r="D23" s="3" t="s">
        <v>164</v>
      </c>
      <c r="E23" s="3" t="s">
        <v>165</v>
      </c>
      <c r="F23" s="3" t="s">
        <v>38</v>
      </c>
      <c r="G23" s="10" t="s">
        <v>46</v>
      </c>
      <c r="H23" s="3" t="s">
        <v>166</v>
      </c>
      <c r="I23" s="3" t="s">
        <v>161</v>
      </c>
      <c r="J23" s="11"/>
      <c r="K23" s="7"/>
      <c r="L23" s="12"/>
    </row>
    <row r="24" customFormat="false" ht="81" hidden="false" customHeight="true" outlineLevel="0" collapsed="false">
      <c r="A24" s="9" t="s">
        <v>167</v>
      </c>
      <c r="B24" s="3" t="s">
        <v>156</v>
      </c>
      <c r="C24" s="2" t="s">
        <v>168</v>
      </c>
      <c r="D24" s="3" t="s">
        <v>169</v>
      </c>
      <c r="E24" s="3" t="s">
        <v>170</v>
      </c>
      <c r="F24" s="3" t="s">
        <v>72</v>
      </c>
      <c r="G24" s="10" t="s">
        <v>46</v>
      </c>
      <c r="H24" s="3" t="s">
        <v>171</v>
      </c>
      <c r="I24" s="3" t="s">
        <v>172</v>
      </c>
      <c r="J24" s="11"/>
      <c r="K24" s="7"/>
      <c r="L24" s="12"/>
    </row>
    <row r="25" customFormat="false" ht="96" hidden="false" customHeight="true" outlineLevel="0" collapsed="false">
      <c r="A25" s="9" t="s">
        <v>173</v>
      </c>
      <c r="B25" s="3" t="s">
        <v>156</v>
      </c>
      <c r="C25" s="2" t="s">
        <v>174</v>
      </c>
      <c r="D25" s="3" t="s">
        <v>175</v>
      </c>
      <c r="E25" s="3" t="s">
        <v>176</v>
      </c>
      <c r="F25" s="3" t="s">
        <v>38</v>
      </c>
      <c r="G25" s="10" t="s">
        <v>46</v>
      </c>
      <c r="H25" s="3" t="s">
        <v>177</v>
      </c>
      <c r="I25" s="3"/>
      <c r="J25" s="11"/>
      <c r="K25" s="7"/>
      <c r="L25" s="12"/>
    </row>
    <row r="26" customFormat="false" ht="51" hidden="false" customHeight="true" outlineLevel="0" collapsed="false">
      <c r="A26" s="9" t="s">
        <v>178</v>
      </c>
      <c r="B26" s="3" t="s">
        <v>156</v>
      </c>
      <c r="C26" s="2" t="s">
        <v>179</v>
      </c>
      <c r="D26" s="3" t="s">
        <v>180</v>
      </c>
      <c r="E26" s="3" t="s">
        <v>181</v>
      </c>
      <c r="F26" s="3" t="s">
        <v>52</v>
      </c>
      <c r="G26" s="10" t="s">
        <v>46</v>
      </c>
      <c r="H26" s="3" t="s">
        <v>182</v>
      </c>
      <c r="I26" s="3" t="s">
        <v>183</v>
      </c>
      <c r="J26" s="11"/>
      <c r="K26" s="7"/>
      <c r="L26" s="12"/>
    </row>
  </sheetData>
  <autoFilter ref="A1:L26"/>
  <conditionalFormatting sqref="J2:J26">
    <cfRule type="cellIs" priority="2" operator="equal" aboveAverage="0" equalAverage="0" bottom="0" percent="0" rank="0" text="" dxfId="4">
      <formula>"Passou"</formula>
    </cfRule>
    <cfRule type="cellIs" priority="3" operator="equal" aboveAverage="0" equalAverage="0" bottom="0" percent="0" rank="0" text="" dxfId="5">
      <formula>"Falhou"</formula>
    </cfRule>
    <cfRule type="cellIs" priority="4" operator="equal" aboveAverage="0" equalAverage="0" bottom="0" percent="0" rank="0" text="" dxfId="6">
      <formula>"Observação"</formula>
    </cfRule>
  </conditionalFormatting>
  <dataValidations count="1">
    <dataValidation allowBlank="true" error="Escolha Passou, Falhou ou Observação." errorStyle="stop" errorTitle="Resultado" operator="between" showDropDown="false" showErrorMessage="true" showInputMessage="false" sqref="J2:J26" type="list">
      <formula1>"Passou,Falhou,Observação"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184</v>
      </c>
    </row>
    <row r="2" customFormat="false" ht="15" hidden="false" customHeight="false" outlineLevel="0" collapsed="false">
      <c r="A2" s="13" t="s">
        <v>185</v>
      </c>
    </row>
    <row r="4" customFormat="false" ht="15" hidden="false" customHeight="false" outlineLevel="0" collapsed="false">
      <c r="A4" s="6" t="s">
        <v>186</v>
      </c>
      <c r="B4" s="14" t="n">
        <f aca="false">COUNTA(Roteiro!$A$2:$A$26)</f>
        <v>25</v>
      </c>
    </row>
    <row r="5" customFormat="false" ht="15" hidden="false" customHeight="false" outlineLevel="0" collapsed="false">
      <c r="A5" s="6" t="s">
        <v>187</v>
      </c>
      <c r="B5" s="14" t="n">
        <f aca="false">COUNTIF(Roteiro!$J$2:$J$26,"Passou")</f>
        <v>0</v>
      </c>
    </row>
    <row r="6" customFormat="false" ht="15" hidden="false" customHeight="false" outlineLevel="0" collapsed="false">
      <c r="A6" s="6" t="s">
        <v>188</v>
      </c>
      <c r="B6" s="14" t="n">
        <f aca="false">COUNTIF(Roteiro!$J$2:$J$26,"Falhou")</f>
        <v>0</v>
      </c>
    </row>
    <row r="7" customFormat="false" ht="15" hidden="false" customHeight="false" outlineLevel="0" collapsed="false">
      <c r="A7" s="6" t="s">
        <v>189</v>
      </c>
      <c r="B7" s="14" t="n">
        <f aca="false">COUNTIF(Roteiro!$J$2:$J$26,"Observação")</f>
        <v>0</v>
      </c>
    </row>
    <row r="8" customFormat="false" ht="15" hidden="false" customHeight="false" outlineLevel="0" collapsed="false">
      <c r="A8" s="6" t="s">
        <v>190</v>
      </c>
      <c r="B8" s="14" t="n">
        <f aca="false">B4-SUM(B5:B7)</f>
        <v>25</v>
      </c>
    </row>
    <row r="9" customFormat="false" ht="15" hidden="false" customHeight="false" outlineLevel="0" collapsed="false">
      <c r="A9" s="6" t="s">
        <v>191</v>
      </c>
      <c r="B9" s="15" t="n">
        <f aca="false">IF(B4=0,0,SUM(B5:B7)/B4)</f>
        <v>0</v>
      </c>
    </row>
    <row r="11" customFormat="false" ht="15" hidden="false" customHeight="false" outlineLevel="0" collapsed="false">
      <c r="A11" s="16" t="s">
        <v>24</v>
      </c>
      <c r="B11" s="16" t="s">
        <v>192</v>
      </c>
      <c r="C11" s="16" t="s">
        <v>187</v>
      </c>
      <c r="D11" s="16" t="s">
        <v>188</v>
      </c>
      <c r="E11" s="16" t="s">
        <v>189</v>
      </c>
      <c r="F11" s="16" t="s">
        <v>193</v>
      </c>
    </row>
    <row r="12" customFormat="false" ht="15" hidden="false" customHeight="false" outlineLevel="0" collapsed="false">
      <c r="A12" s="17" t="s">
        <v>34</v>
      </c>
      <c r="B12" s="14" t="n">
        <f aca="false">COUNTIF(Roteiro!$B$2:$B$26,$A12)</f>
        <v>4</v>
      </c>
      <c r="C12" s="14" t="n">
        <f aca="false">COUNTIFS(Roteiro!$B$2:$B$26,$A12,Roteiro!$J$2:$J$26,"Passou")</f>
        <v>0</v>
      </c>
      <c r="D12" s="14" t="n">
        <f aca="false">COUNTIFS(Roteiro!$B$2:$B$26,$A12,Roteiro!$J$2:$J$26,"Falhou")</f>
        <v>0</v>
      </c>
      <c r="E12" s="14" t="n">
        <f aca="false">COUNTIFS(Roteiro!$B$2:$B$26,$A12,Roteiro!$J$2:$J$26,"Observação")</f>
        <v>0</v>
      </c>
      <c r="F12" s="14" t="n">
        <f aca="false">B12-SUM(C12:E12)</f>
        <v>4</v>
      </c>
    </row>
    <row r="13" customFormat="false" ht="15" hidden="false" customHeight="false" outlineLevel="0" collapsed="false">
      <c r="A13" s="17" t="s">
        <v>61</v>
      </c>
      <c r="B13" s="14" t="n">
        <f aca="false">COUNTIF(Roteiro!$B$2:$B$26,$A13)</f>
        <v>3</v>
      </c>
      <c r="C13" s="14" t="n">
        <f aca="false">COUNTIFS(Roteiro!$B$2:$B$26,$A13,Roteiro!$J$2:$J$26,"Passou")</f>
        <v>0</v>
      </c>
      <c r="D13" s="14" t="n">
        <f aca="false">COUNTIFS(Roteiro!$B$2:$B$26,$A13,Roteiro!$J$2:$J$26,"Falhou")</f>
        <v>0</v>
      </c>
      <c r="E13" s="14" t="n">
        <f aca="false">COUNTIFS(Roteiro!$B$2:$B$26,$A13,Roteiro!$J$2:$J$26,"Observação")</f>
        <v>0</v>
      </c>
      <c r="F13" s="14" t="n">
        <f aca="false">B13-SUM(C13:E13)</f>
        <v>3</v>
      </c>
    </row>
    <row r="14" customFormat="false" ht="15" hidden="false" customHeight="false" outlineLevel="0" collapsed="false">
      <c r="A14" s="17" t="s">
        <v>81</v>
      </c>
      <c r="B14" s="14" t="n">
        <f aca="false">COUNTIF(Roteiro!$B$2:$B$26,$A14)</f>
        <v>2</v>
      </c>
      <c r="C14" s="14" t="n">
        <f aca="false">COUNTIFS(Roteiro!$B$2:$B$26,$A14,Roteiro!$J$2:$J$26,"Passou")</f>
        <v>0</v>
      </c>
      <c r="D14" s="14" t="n">
        <f aca="false">COUNTIFS(Roteiro!$B$2:$B$26,$A14,Roteiro!$J$2:$J$26,"Falhou")</f>
        <v>0</v>
      </c>
      <c r="E14" s="14" t="n">
        <f aca="false">COUNTIFS(Roteiro!$B$2:$B$26,$A14,Roteiro!$J$2:$J$26,"Observação")</f>
        <v>0</v>
      </c>
      <c r="F14" s="14" t="n">
        <f aca="false">B14-SUM(C14:E14)</f>
        <v>2</v>
      </c>
    </row>
    <row r="15" customFormat="false" ht="15" hidden="false" customHeight="false" outlineLevel="0" collapsed="false">
      <c r="A15" s="17" t="s">
        <v>94</v>
      </c>
      <c r="B15" s="14" t="n">
        <f aca="false">COUNTIF(Roteiro!$B$2:$B$26,$A15)</f>
        <v>7</v>
      </c>
      <c r="C15" s="14" t="n">
        <f aca="false">COUNTIFS(Roteiro!$B$2:$B$26,$A15,Roteiro!$J$2:$J$26,"Passou")</f>
        <v>0</v>
      </c>
      <c r="D15" s="14" t="n">
        <f aca="false">COUNTIFS(Roteiro!$B$2:$B$26,$A15,Roteiro!$J$2:$J$26,"Falhou")</f>
        <v>0</v>
      </c>
      <c r="E15" s="14" t="n">
        <f aca="false">COUNTIFS(Roteiro!$B$2:$B$26,$A15,Roteiro!$J$2:$J$26,"Observação")</f>
        <v>0</v>
      </c>
      <c r="F15" s="14" t="n">
        <f aca="false">B15-SUM(C15:E15)</f>
        <v>7</v>
      </c>
    </row>
    <row r="16" customFormat="false" ht="15" hidden="false" customHeight="false" outlineLevel="0" collapsed="false">
      <c r="A16" s="17" t="s">
        <v>134</v>
      </c>
      <c r="B16" s="14" t="n">
        <f aca="false">COUNTIF(Roteiro!$B$2:$B$26,$A16)</f>
        <v>4</v>
      </c>
      <c r="C16" s="14" t="n">
        <f aca="false">COUNTIFS(Roteiro!$B$2:$B$26,$A16,Roteiro!$J$2:$J$26,"Passou")</f>
        <v>0</v>
      </c>
      <c r="D16" s="14" t="n">
        <f aca="false">COUNTIFS(Roteiro!$B$2:$B$26,$A16,Roteiro!$J$2:$J$26,"Falhou")</f>
        <v>0</v>
      </c>
      <c r="E16" s="14" t="n">
        <f aca="false">COUNTIFS(Roteiro!$B$2:$B$26,$A16,Roteiro!$J$2:$J$26,"Observação")</f>
        <v>0</v>
      </c>
      <c r="F16" s="14" t="n">
        <f aca="false">B16-SUM(C16:E16)</f>
        <v>4</v>
      </c>
    </row>
    <row r="17" customFormat="false" ht="15" hidden="false" customHeight="false" outlineLevel="0" collapsed="false">
      <c r="A17" s="17" t="s">
        <v>156</v>
      </c>
      <c r="B17" s="14" t="n">
        <f aca="false">COUNTIF(Roteiro!$B$2:$B$26,$A17)</f>
        <v>5</v>
      </c>
      <c r="C17" s="14" t="n">
        <f aca="false">COUNTIFS(Roteiro!$B$2:$B$26,$A17,Roteiro!$J$2:$J$26,"Passou")</f>
        <v>0</v>
      </c>
      <c r="D17" s="14" t="n">
        <f aca="false">COUNTIFS(Roteiro!$B$2:$B$26,$A17,Roteiro!$J$2:$J$26,"Falhou")</f>
        <v>0</v>
      </c>
      <c r="E17" s="14" t="n">
        <f aca="false">COUNTIFS(Roteiro!$B$2:$B$26,$A17,Roteiro!$J$2:$J$26,"Observação")</f>
        <v>0</v>
      </c>
      <c r="F17" s="14" t="n">
        <f aca="false">B17-SUM(C17:E17)</f>
        <v>5</v>
      </c>
    </row>
    <row r="18" customFormat="false" ht="15" hidden="false" customHeight="false" outlineLevel="0" collapsed="false">
      <c r="A18" s="18" t="s">
        <v>194</v>
      </c>
      <c r="B18" s="19" t="n">
        <f aca="false">SUM(B12:B17)</f>
        <v>25</v>
      </c>
      <c r="C18" s="19" t="n">
        <f aca="false">SUM(C12:C17)</f>
        <v>0</v>
      </c>
      <c r="D18" s="19" t="n">
        <f aca="false">SUM(D12:D17)</f>
        <v>0</v>
      </c>
      <c r="E18" s="19" t="n">
        <f aca="false">SUM(E12:E17)</f>
        <v>0</v>
      </c>
      <c r="F18" s="19" t="n">
        <f aca="false">SUM(F12:F17)</f>
        <v>25</v>
      </c>
    </row>
    <row r="20" customFormat="false" ht="15" hidden="false" customHeight="false" outlineLevel="0" collapsed="false">
      <c r="A20" s="4" t="s">
        <v>195</v>
      </c>
    </row>
    <row r="21" customFormat="false" ht="15" hidden="false" customHeight="false" outlineLevel="0" collapsed="false">
      <c r="A21" s="17" t="s">
        <v>38</v>
      </c>
      <c r="B21" s="14" t="n">
        <f aca="false">COUNTIF(Roteiro!$F$2:$F$26,A21)</f>
        <v>20</v>
      </c>
    </row>
    <row r="22" customFormat="false" ht="15" hidden="false" customHeight="false" outlineLevel="0" collapsed="false">
      <c r="A22" s="17" t="s">
        <v>52</v>
      </c>
      <c r="B22" s="14" t="n">
        <f aca="false">COUNTIF(Roteiro!$F$2:$F$26,A22)</f>
        <v>3</v>
      </c>
    </row>
    <row r="23" customFormat="false" ht="15" hidden="false" customHeight="false" outlineLevel="0" collapsed="false">
      <c r="A23" s="17" t="s">
        <v>72</v>
      </c>
      <c r="B23" s="14" t="n">
        <f aca="false">COUNTIF(Roteiro!$F$2:$F$26,A23)</f>
        <v>2</v>
      </c>
    </row>
    <row r="24" customFormat="false" ht="15" hidden="false" customHeight="false" outlineLevel="0" collapsed="false">
      <c r="A24" s="17" t="s">
        <v>196</v>
      </c>
      <c r="B24" s="14" t="n">
        <f aca="false">COUNTIF(Roteiro!$G$2:$G$26,"Sim")</f>
        <v>15</v>
      </c>
    </row>
    <row r="25" customFormat="false" ht="15" hidden="false" customHeight="false" outlineLevel="0" collapsed="false">
      <c r="A25" s="17" t="s">
        <v>197</v>
      </c>
      <c r="B25" s="14" t="n">
        <f aca="false">COUNTIF(Roteiro!$G$2:$G$26,"Em parte")</f>
        <v>5</v>
      </c>
    </row>
    <row r="26" customFormat="false" ht="15" hidden="false" customHeight="false" outlineLevel="0" collapsed="false">
      <c r="A26" s="17" t="s">
        <v>198</v>
      </c>
      <c r="B26" s="14" t="n">
        <f aca="false">COUNTIF(Roteiro!$G$2:$G$26,"Não")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2026-10-06T15:54:47Z</dcterms:created>
  <dc:creator>openpyxl</dc:creator>
  <dc:description/>
  <dc:language>en-US</dc:language>
  <cp:lastModifiedBy/>
  <dcterms:modified xsi:type="dcterms:W3CDTF">2026-10-06T15:54:47Z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